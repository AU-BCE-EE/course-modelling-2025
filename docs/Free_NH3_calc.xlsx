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 and output" sheetId="1" state="visible" r:id="rId2"/>
    <sheet name="Calculations" sheetId="2" state="visible" r:id="rId3"/>
    <sheet name="ChangeLog" sheetId="3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<sst xmlns="http://schemas.openxmlformats.org/spreadsheetml/2006/main" count="57" uniqueCount="51">
  <si>
    <r>
      <rPr>
        <sz val="11"/>
        <color rgb="FF000000"/>
        <rFont val="Century"/>
        <family val="1"/>
        <charset val="1"/>
      </rPr>
      <t xml:space="preserve">Enter pH, temperature, and ionic strength (user's estimate) to calculate free NH</t>
    </r>
    <r>
      <rPr>
        <vertAlign val="subscript"/>
        <sz val="11"/>
        <color rgb="FF000000"/>
        <rFont val="Century"/>
        <family val="1"/>
        <charset val="1"/>
      </rPr>
      <t xml:space="preserve">3</t>
    </r>
    <r>
      <rPr>
        <sz val="11"/>
        <color rgb="FF000000"/>
        <rFont val="Century"/>
        <family val="1"/>
        <charset val="1"/>
      </rPr>
      <t xml:space="preserve">.</t>
    </r>
  </si>
  <si>
    <t xml:space="preserve">The only difference between cattle and pig rows is in the estimate of ionic strength based on dry matter.</t>
  </si>
  <si>
    <t xml:space="preserve">Only enter data in cells with a white background.</t>
  </si>
  <si>
    <t xml:space="preserve">Ionic strength</t>
  </si>
  <si>
    <t xml:space="preserve">Dry matter</t>
  </si>
  <si>
    <t xml:space="preserve">pH</t>
  </si>
  <si>
    <t xml:space="preserve">Temperature</t>
  </si>
  <si>
    <t xml:space="preserve">Total ammonia</t>
  </si>
  <si>
    <t xml:space="preserve">Based on</t>
  </si>
  <si>
    <t xml:space="preserve">User's</t>
  </si>
  <si>
    <r>
      <rPr>
        <sz val="11"/>
        <color rgb="FF000000"/>
        <rFont val="Century"/>
        <family val="1"/>
        <charset val="1"/>
      </rPr>
      <t xml:space="preserve">Free NH</t>
    </r>
    <r>
      <rPr>
        <vertAlign val="subscript"/>
        <sz val="11"/>
        <color rgb="FF000000"/>
        <rFont val="Century"/>
        <family val="1"/>
        <charset val="1"/>
      </rPr>
      <t xml:space="preserve">3</t>
    </r>
    <r>
      <rPr>
        <sz val="11"/>
        <color rgb="FF000000"/>
        <rFont val="Century"/>
        <family val="1"/>
        <charset val="1"/>
      </rPr>
      <t xml:space="preserve"> concentration</t>
    </r>
  </si>
  <si>
    <r>
      <rPr>
        <sz val="11"/>
        <color rgb="FF000000"/>
        <rFont val="Century"/>
        <family val="1"/>
        <charset val="1"/>
      </rPr>
      <t xml:space="preserve">NH</t>
    </r>
    <r>
      <rPr>
        <vertAlign val="subscript"/>
        <sz val="11"/>
        <color rgb="FF000000"/>
        <rFont val="Century"/>
        <family val="1"/>
        <charset val="1"/>
      </rPr>
      <t xml:space="preserve">3</t>
    </r>
    <r>
      <rPr>
        <sz val="11"/>
        <color rgb="FF000000"/>
        <rFont val="Century"/>
        <family val="1"/>
        <charset val="1"/>
      </rPr>
      <t xml:space="preserve"> (g)</t>
    </r>
  </si>
  <si>
    <t xml:space="preserve">(%)</t>
  </si>
  <si>
    <t xml:space="preserve">(°C)</t>
  </si>
  <si>
    <r>
      <rPr>
        <sz val="11"/>
        <color rgb="FF000000"/>
        <rFont val="Century"/>
        <family val="1"/>
        <charset val="1"/>
      </rPr>
      <t xml:space="preserve">(g/kg</t>
    </r>
    <r>
      <rPr>
        <vertAlign val="subscript"/>
        <sz val="11"/>
        <color rgb="FF000000"/>
        <rFont val="Century"/>
        <family val="1"/>
        <charset val="1"/>
      </rPr>
      <t xml:space="preserve">w</t>
    </r>
    <r>
      <rPr>
        <sz val="11"/>
        <color rgb="FF000000"/>
        <rFont val="Century"/>
        <family val="1"/>
        <charset val="1"/>
      </rPr>
      <t xml:space="preserve">)</t>
    </r>
  </si>
  <si>
    <t xml:space="preserve">dry matter</t>
  </si>
  <si>
    <t xml:space="preserve">total ammonia</t>
  </si>
  <si>
    <t xml:space="preserve">estimate</t>
  </si>
  <si>
    <t xml:space="preserve">(% of TAN)</t>
  </si>
  <si>
    <r>
      <rPr>
        <sz val="11"/>
        <color rgb="FF000000"/>
        <rFont val="Century"/>
        <family val="1"/>
        <charset val="1"/>
      </rPr>
      <t xml:space="preserve">(mmol/kg</t>
    </r>
    <r>
      <rPr>
        <vertAlign val="subscript"/>
        <sz val="11"/>
        <color rgb="FF000000"/>
        <rFont val="Century"/>
        <family val="1"/>
        <charset val="1"/>
      </rPr>
      <t xml:space="preserve">w</t>
    </r>
    <r>
      <rPr>
        <sz val="11"/>
        <color rgb="FF000000"/>
        <rFont val="Century"/>
        <family val="1"/>
        <charset val="1"/>
      </rPr>
      <t xml:space="preserve">)</t>
    </r>
  </si>
  <si>
    <r>
      <rPr>
        <sz val="11"/>
        <color rgb="FF000000"/>
        <rFont val="Century"/>
        <family val="1"/>
        <charset val="1"/>
      </rPr>
      <t xml:space="preserve">(mg N/kg</t>
    </r>
    <r>
      <rPr>
        <vertAlign val="subscript"/>
        <sz val="11"/>
        <color rgb="FF000000"/>
        <rFont val="Century"/>
        <family val="1"/>
        <charset val="1"/>
      </rPr>
      <t xml:space="preserve">w</t>
    </r>
    <r>
      <rPr>
        <sz val="11"/>
        <color rgb="FF000000"/>
        <rFont val="Century"/>
        <family val="1"/>
        <charset val="1"/>
      </rPr>
      <t xml:space="preserve">)</t>
    </r>
  </si>
  <si>
    <r>
      <rPr>
        <sz val="11"/>
        <color rgb="FF000000"/>
        <rFont val="Century"/>
        <family val="1"/>
        <charset val="1"/>
      </rPr>
      <t xml:space="preserve">(mg N/m</t>
    </r>
    <r>
      <rPr>
        <vertAlign val="superscript"/>
        <sz val="11"/>
        <color rgb="FF000000"/>
        <rFont val="Century"/>
        <family val="1"/>
        <charset val="1"/>
      </rPr>
      <t xml:space="preserve">3</t>
    </r>
    <r>
      <rPr>
        <sz val="11"/>
        <color rgb="FF000000"/>
        <rFont val="Century"/>
        <family val="1"/>
        <charset val="1"/>
      </rPr>
      <t xml:space="preserve">)</t>
    </r>
  </si>
  <si>
    <t xml:space="preserve">Cattle</t>
  </si>
  <si>
    <t xml:space="preserve">Pig</t>
  </si>
  <si>
    <t xml:space="preserve">User-defined</t>
  </si>
  <si>
    <t xml:space="preserve">Calculations based on Eq. (12) in Hafner, S. D., and J. J. Bisogni. 2009. Modeling of Ammonia Speciation in Anaerobic Digesters. Water Research 43: 4105–4114.</t>
  </si>
  <si>
    <t xml:space="preserve">All constants are based on Hafner, S. D., Montes, F., Rotz, C. A. 2012. The Role of Carbon Dioxide in Emission of Ammonia from Manure. Atmospheric Environment 66: 63–71.</t>
  </si>
  <si>
    <t xml:space="preserve">Questions or bugs? Contact Sasha Hafner at sasha@hafnerconsulting.com or sdh11@cornell.edu </t>
  </si>
  <si>
    <t xml:space="preserve">Debye-Huckel parameters</t>
  </si>
  <si>
    <r>
      <rPr>
        <sz val="11"/>
        <color rgb="FF000000"/>
        <rFont val="Calibri"/>
        <family val="2"/>
        <charset val="1"/>
      </rPr>
      <t xml:space="preserve">NH</t>
    </r>
    <r>
      <rPr>
        <vertAlign val="subscript"/>
        <sz val="11"/>
        <color rgb="FF000000"/>
        <rFont val="Calibri"/>
        <family val="2"/>
        <charset val="1"/>
      </rPr>
      <t xml:space="preserve">4</t>
    </r>
    <r>
      <rPr>
        <vertAlign val="superscript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activity coefficient</t>
    </r>
  </si>
  <si>
    <t xml:space="preserve">KH</t>
  </si>
  <si>
    <t xml:space="preserve">(K)</t>
  </si>
  <si>
    <r>
      <rPr>
        <sz val="11"/>
        <color rgb="FF000000"/>
        <rFont val="Calibri"/>
        <family val="2"/>
        <charset val="1"/>
      </rPr>
      <t xml:space="preserve">K</t>
    </r>
    <r>
      <rPr>
        <vertAlign val="subscript"/>
        <sz val="11"/>
        <color rgb="FF000000"/>
        <rFont val="Calibri"/>
        <family val="2"/>
        <charset val="1"/>
      </rPr>
      <t xml:space="preserve">a</t>
    </r>
  </si>
  <si>
    <t xml:space="preserve">a</t>
  </si>
  <si>
    <t xml:space="preserve">Dielec. const.</t>
  </si>
  <si>
    <t xml:space="preserve">c</t>
  </si>
  <si>
    <r>
      <rPr>
        <sz val="11"/>
        <color rgb="FF000000"/>
        <rFont val="Symbol"/>
        <family val="1"/>
        <charset val="2"/>
      </rPr>
      <t xml:space="preserve">r</t>
    </r>
    <r>
      <rPr>
        <vertAlign val="subscript"/>
        <sz val="11"/>
        <color rgb="FF000000"/>
        <rFont val="Calibri"/>
        <family val="2"/>
        <charset val="1"/>
      </rPr>
      <t xml:space="preserve">H2O</t>
    </r>
  </si>
  <si>
    <t xml:space="preserve">A</t>
  </si>
  <si>
    <t xml:space="preserve">B</t>
  </si>
  <si>
    <r>
      <rPr>
        <sz val="11"/>
        <color rgb="FF000000"/>
        <rFont val="Calibri"/>
        <family val="2"/>
        <charset val="1"/>
      </rPr>
      <t xml:space="preserve">log</t>
    </r>
    <r>
      <rPr>
        <vertAlign val="subscript"/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Symbol"/>
        <family val="1"/>
        <charset val="2"/>
      </rPr>
      <t xml:space="preserve">g</t>
    </r>
  </si>
  <si>
    <t xml:space="preserve">g</t>
  </si>
  <si>
    <t xml:space="preserve">(mol/kg-atm)</t>
  </si>
  <si>
    <t xml:space="preserve">(m3/kg)</t>
  </si>
  <si>
    <t xml:space="preserve">When</t>
  </si>
  <si>
    <t xml:space="preserve">File name</t>
  </si>
  <si>
    <t xml:space="preserve">Who</t>
  </si>
  <si>
    <t xml:space="preserve">Description</t>
  </si>
  <si>
    <t xml:space="preserve">18 May 2021</t>
  </si>
  <si>
    <t xml:space="preserve">Free_NH3_calc.xlsx</t>
  </si>
  <si>
    <t xml:space="preserve">Sasha</t>
  </si>
  <si>
    <t xml:space="preserve">Edit in LO Calc, correct typos in notes in I/O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</si>
</sst>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0.0000"/>
    <numFmt numFmtId="168" formatCode="0.000"/>
    <numFmt numFmtId="169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entury"/>
      <family val="1"/>
      <charset val="1"/>
    </font>
    <font>
      <vertAlign val="subscript"/>
      <sz val="11"/>
      <color rgb="FF000000"/>
      <name val="Century"/>
      <family val="1"/>
      <charset val="1"/>
    </font>
    <font>
      <vertAlign val="superscript"/>
      <sz val="11"/>
      <color rgb="FF000000"/>
      <name val="Century"/>
      <family val="1"/>
      <charset val="1"/>
    </font>
    <font>
      <sz val="11"/>
      <color rgb="FF0000CC"/>
      <name val="Century"/>
      <family val="1"/>
      <charset val="1"/>
    </font>
    <font>
      <vertAlign val="subscript"/>
      <sz val="11"/>
      <color rgb="FF000000"/>
      <name val="Calibri"/>
      <family val="2"/>
      <charset val="1"/>
    </font>
    <font>
      <vertAlign val="superscript"/>
      <sz val="11"/>
      <color rgb="FF000000"/>
      <name val="Calibri"/>
      <family val="2"/>
      <charset val="1"/>
    </font>
    <font>
      <sz val="11"/>
      <color rgb="FF000000"/>
      <name val="Symbol"/>
      <family val="1"/>
      <charset val="2"/>
    </font>
    <font>
      <sz val="11"/>
      <color rgb="FF0070C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4" fillId="0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" fillId="0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7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4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" fillId="0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4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4" fillId="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9.1484375" defaultRowHeight="14.25" zeroHeight="false" outlineLevelRow="0" outlineLevelCol="0"/>
  <cols>
    <col collapsed="false" customWidth="true" hidden="false" outlineLevel="0" max="1" min="1" style="1" width="14.73"/>
    <col collapsed="false" customWidth="true" hidden="false" outlineLevel="0" max="2" min="2" style="1" width="13.13"/>
    <col collapsed="false" customWidth="true" hidden="false" outlineLevel="0" max="3" min="3" style="1" width="6.43"/>
    <col collapsed="false" customWidth="true" hidden="false" outlineLevel="0" max="4" min="4" style="1" width="17.59"/>
    <col collapsed="false" customWidth="true" hidden="false" outlineLevel="0" max="5" min="5" style="1" width="18"/>
    <col collapsed="false" customWidth="true" hidden="false" outlineLevel="0" max="6" min="6" style="1" width="13.27"/>
    <col collapsed="false" customWidth="true" hidden="false" outlineLevel="0" max="7" min="7" style="1" width="17.59"/>
    <col collapsed="false" customWidth="true" hidden="false" outlineLevel="0" max="8" min="8" style="1" width="15.87"/>
    <col collapsed="false" customWidth="true" hidden="false" outlineLevel="0" max="9" min="9" style="1" width="13.73"/>
    <col collapsed="false" customWidth="true" hidden="false" outlineLevel="0" max="10" min="10" style="1" width="14.4"/>
    <col collapsed="false" customWidth="true" hidden="false" outlineLevel="0" max="11" min="11" style="1" width="14.13"/>
    <col collapsed="false" customWidth="true" hidden="false" outlineLevel="0" max="12" min="12" style="1" width="12.72"/>
    <col collapsed="false" customWidth="false" hidden="false" outlineLevel="0" max="1024" min="13" style="1" width="9.13"/>
  </cols>
  <sheetData>
    <row r="1" customFormat="false" ht="15.7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4.2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4.2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4.25" hidden="false" customHeight="false" outlineLevel="0" collapsed="false">
      <c r="A5" s="2"/>
      <c r="B5" s="3"/>
      <c r="C5" s="3"/>
      <c r="D5" s="3"/>
      <c r="E5" s="3"/>
      <c r="F5" s="4" t="s">
        <v>3</v>
      </c>
      <c r="G5" s="4"/>
      <c r="H5" s="4"/>
      <c r="I5" s="3"/>
      <c r="J5" s="3"/>
      <c r="K5" s="3"/>
      <c r="L5" s="3"/>
      <c r="M5" s="2"/>
      <c r="N5" s="2"/>
    </row>
    <row r="6" s="9" customFormat="true" ht="18" hidden="false" customHeight="true" outlineLevel="0" collapsed="false">
      <c r="A6" s="5"/>
      <c r="B6" s="6" t="s">
        <v>4</v>
      </c>
      <c r="C6" s="6" t="s">
        <v>5</v>
      </c>
      <c r="D6" s="6" t="s">
        <v>6</v>
      </c>
      <c r="E6" s="6" t="s">
        <v>7</v>
      </c>
      <c r="F6" s="5" t="s">
        <v>8</v>
      </c>
      <c r="G6" s="5" t="s">
        <v>8</v>
      </c>
      <c r="H6" s="5" t="s">
        <v>9</v>
      </c>
      <c r="I6" s="4" t="s">
        <v>10</v>
      </c>
      <c r="J6" s="4"/>
      <c r="K6" s="4"/>
      <c r="L6" s="7" t="s">
        <v>11</v>
      </c>
      <c r="M6" s="8"/>
      <c r="N6" s="8"/>
    </row>
    <row r="7" customFormat="false" ht="16.5" hidden="false" customHeight="false" outlineLevel="0" collapsed="false">
      <c r="A7" s="10"/>
      <c r="B7" s="6" t="s">
        <v>12</v>
      </c>
      <c r="C7" s="6"/>
      <c r="D7" s="6" t="s">
        <v>13</v>
      </c>
      <c r="E7" s="6" t="s">
        <v>14</v>
      </c>
      <c r="F7" s="6" t="s">
        <v>15</v>
      </c>
      <c r="G7" s="6" t="s">
        <v>16</v>
      </c>
      <c r="H7" s="6" t="s">
        <v>17</v>
      </c>
      <c r="I7" s="11" t="s">
        <v>18</v>
      </c>
      <c r="J7" s="5" t="s">
        <v>19</v>
      </c>
      <c r="K7" s="5" t="s">
        <v>20</v>
      </c>
      <c r="L7" s="12" t="s">
        <v>21</v>
      </c>
      <c r="M7" s="2"/>
      <c r="N7" s="2"/>
    </row>
    <row r="8" customFormat="false" ht="14.25" hidden="false" customHeight="false" outlineLevel="0" collapsed="false">
      <c r="A8" s="13" t="s">
        <v>22</v>
      </c>
      <c r="B8" s="14" t="n">
        <v>9</v>
      </c>
      <c r="C8" s="14" t="n">
        <v>7.5</v>
      </c>
      <c r="D8" s="15" t="n">
        <v>16</v>
      </c>
      <c r="E8" s="16" t="n">
        <v>3</v>
      </c>
      <c r="F8" s="17" t="n">
        <f aca="false">IF(COUNT(B8),0.04317*B8-0.0001624*B8^2+0.00001717*B8^3,"")</f>
        <v>0.38789253</v>
      </c>
      <c r="G8" s="17" t="n">
        <f aca="false">IF(COUNT(E8)=1,E8/14*2,"")</f>
        <v>0.428571428571429</v>
      </c>
      <c r="H8" s="18" t="n">
        <v>0.4</v>
      </c>
      <c r="I8" s="17" t="n">
        <f aca="false">IF(COUNT(C8:E8,H8)=4,100*Calculations!C3*Calculations!K3/(10^(-C8)+Calculations!K3*Calculations!C3),"")</f>
        <v>0.573643270960499</v>
      </c>
      <c r="J8" s="17" t="n">
        <f aca="false">IF(COUNT(K8)=1,K8/14.0067,"")</f>
        <v>1.22864758499968</v>
      </c>
      <c r="K8" s="19" t="n">
        <f aca="false">IF(COUNT(C8:E8,H8)=4,I8*E8*1000/100,"")</f>
        <v>17.209298128815</v>
      </c>
      <c r="L8" s="20" t="n">
        <f aca="false">K8/Calculations!M3</f>
        <v>7.69581843039937</v>
      </c>
      <c r="M8" s="2"/>
      <c r="N8" s="2"/>
    </row>
    <row r="9" customFormat="false" ht="14.25" hidden="false" customHeight="false" outlineLevel="0" collapsed="false">
      <c r="A9" s="21" t="s">
        <v>23</v>
      </c>
      <c r="B9" s="22" t="n">
        <v>5</v>
      </c>
      <c r="C9" s="22" t="n">
        <v>7.8</v>
      </c>
      <c r="D9" s="23" t="n">
        <v>35</v>
      </c>
      <c r="E9" s="24" t="n">
        <v>3</v>
      </c>
      <c r="F9" s="25" t="n">
        <f aca="false">IF(COUNT(B9),0.07564*B9-0.001425*B9^2+0.0001014*B9^3,"")</f>
        <v>0.35525</v>
      </c>
      <c r="G9" s="25" t="n">
        <f aca="false">IF(COUNT(E9)=1,E9/14*2,"")</f>
        <v>0.428571428571429</v>
      </c>
      <c r="H9" s="26" t="n">
        <v>0.4</v>
      </c>
      <c r="I9" s="25" t="n">
        <f aca="false">IF(COUNT(C9:E9,H9)=4,100*Calculations!C4*Calculations!K4/(10^(-C9)+Calculations!K4*Calculations!C4),"")</f>
        <v>4.15420011644971</v>
      </c>
      <c r="J9" s="25" t="n">
        <f aca="false">IF(COUNT(K9)=1,K9/14.0067,"")</f>
        <v>8.89759925560562</v>
      </c>
      <c r="K9" s="27" t="n">
        <f aca="false">IF(COUNT(C9:E9,H9)=4,I9*E9*1000/100,"")</f>
        <v>124.626003493491</v>
      </c>
      <c r="L9" s="28" t="n">
        <f aca="false">K9/Calculations!M4</f>
        <v>127.966542682574</v>
      </c>
      <c r="M9" s="2"/>
      <c r="N9" s="2"/>
    </row>
    <row r="10" customFormat="false" ht="14.25" hidden="false" customHeight="false" outlineLevel="0" collapsed="false">
      <c r="A10" s="29" t="s">
        <v>24</v>
      </c>
      <c r="B10" s="30"/>
      <c r="C10" s="31" t="n">
        <v>8</v>
      </c>
      <c r="D10" s="32" t="n">
        <v>15</v>
      </c>
      <c r="E10" s="33" t="n">
        <v>0.01</v>
      </c>
      <c r="F10" s="34"/>
      <c r="G10" s="34"/>
      <c r="H10" s="35" t="n">
        <v>0.01</v>
      </c>
      <c r="I10" s="36" t="n">
        <f aca="false">IF(COUNT(C10:E10,H10)=4,100*Calculations!C5*Calculations!K5/(10^(-C10)+Calculations!K5*Calculations!C5),"")</f>
        <v>2.40306388726647</v>
      </c>
      <c r="J10" s="36" t="n">
        <f aca="false">IF(COUNT(K10)=1,K10/14.0067,"")</f>
        <v>0.0171565314261494</v>
      </c>
      <c r="K10" s="36" t="n">
        <f aca="false">IF(COUNT(C10:E10,H10)=4,I10*E10*1000/100,"")</f>
        <v>0.240306388726647</v>
      </c>
      <c r="L10" s="37" t="n">
        <f aca="false">K10/Calculations!M5</f>
        <v>0.10256088285539</v>
      </c>
      <c r="M10" s="2"/>
      <c r="N10" s="2"/>
    </row>
    <row r="11" customFormat="false" ht="14.2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14.25" hidden="false" customHeight="false" outlineLevel="0" collapsed="false">
      <c r="A12" s="38" t="s">
        <v>25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4.25" hidden="false" customHeight="false" outlineLevel="0" collapsed="false">
      <c r="A13" s="38" t="s">
        <v>26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4.9" hidden="false" customHeight="false" outlineLevel="0" collapsed="false">
      <c r="A14" s="38" t="s">
        <v>27</v>
      </c>
    </row>
  </sheetData>
  <mergeCells count="2">
    <mergeCell ref="F5:H5"/>
    <mergeCell ref="I6:K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" activeCellId="0" sqref="L1"/>
    </sheetView>
  </sheetViews>
  <sheetFormatPr defaultColWidth="9.1484375" defaultRowHeight="14.25" zeroHeight="false" outlineLevelRow="0" outlineLevelCol="0"/>
  <cols>
    <col collapsed="false" customWidth="true" hidden="false" outlineLevel="0" max="1" min="1" style="39" width="12.72"/>
    <col collapsed="false" customWidth="true" hidden="false" outlineLevel="0" max="2" min="2" style="39" width="12.6"/>
    <col collapsed="false" customWidth="true" hidden="false" outlineLevel="0" max="3" min="3" style="39" width="11.99"/>
    <col collapsed="false" customWidth="false" hidden="false" outlineLevel="0" max="4" min="4" style="39" width="9.13"/>
    <col collapsed="false" customWidth="true" hidden="false" outlineLevel="0" max="5" min="5" style="39" width="13.27"/>
    <col collapsed="false" customWidth="false" hidden="false" outlineLevel="0" max="9" min="6" style="39" width="9.13"/>
    <col collapsed="false" customWidth="true" hidden="false" outlineLevel="0" max="10" min="10" style="39" width="12.72"/>
    <col collapsed="false" customWidth="true" hidden="false" outlineLevel="0" max="11" min="11" style="39" width="11.99"/>
    <col collapsed="false" customWidth="true" hidden="false" outlineLevel="0" max="12" min="12" style="39" width="18.8"/>
    <col collapsed="false" customWidth="false" hidden="false" outlineLevel="0" max="1024" min="13" style="39" width="9.13"/>
  </cols>
  <sheetData>
    <row r="1" customFormat="false" ht="16.5" hidden="false" customHeight="false" outlineLevel="0" collapsed="false">
      <c r="B1" s="39" t="s">
        <v>6</v>
      </c>
      <c r="D1" s="40" t="s">
        <v>28</v>
      </c>
      <c r="E1" s="40"/>
      <c r="F1" s="40"/>
      <c r="G1" s="40"/>
      <c r="H1" s="40"/>
      <c r="I1" s="40"/>
      <c r="J1" s="40" t="s">
        <v>29</v>
      </c>
      <c r="K1" s="40"/>
      <c r="L1" s="39" t="s">
        <v>30</v>
      </c>
      <c r="M1" s="39" t="s">
        <v>30</v>
      </c>
    </row>
    <row r="2" customFormat="false" ht="15.75" hidden="false" customHeight="false" outlineLevel="0" collapsed="false">
      <c r="B2" s="39" t="s">
        <v>31</v>
      </c>
      <c r="C2" s="39" t="s">
        <v>32</v>
      </c>
      <c r="D2" s="39" t="s">
        <v>33</v>
      </c>
      <c r="E2" s="39" t="s">
        <v>34</v>
      </c>
      <c r="F2" s="39" t="s">
        <v>35</v>
      </c>
      <c r="G2" s="41" t="s">
        <v>36</v>
      </c>
      <c r="H2" s="39" t="s">
        <v>37</v>
      </c>
      <c r="I2" s="39" t="s">
        <v>38</v>
      </c>
      <c r="J2" s="39" t="s">
        <v>39</v>
      </c>
      <c r="K2" s="41" t="s">
        <v>40</v>
      </c>
      <c r="L2" s="39" t="s">
        <v>41</v>
      </c>
      <c r="M2" s="39" t="s">
        <v>42</v>
      </c>
    </row>
    <row r="3" customFormat="false" ht="14.25" hidden="false" customHeight="false" outlineLevel="0" collapsed="false">
      <c r="A3" s="39" t="s">
        <v>22</v>
      </c>
      <c r="B3" s="42" t="n">
        <f aca="false">'Input and output'!D8+273.15</f>
        <v>289.15</v>
      </c>
      <c r="C3" s="42" t="n">
        <f aca="false">10^(-0.0905 - 2729.31/B3)</f>
        <v>2.95406425610053E-010</v>
      </c>
      <c r="D3" s="39" t="n">
        <v>2.5</v>
      </c>
      <c r="E3" s="42" t="n">
        <f aca="false">2727.586 + 0.6224107*B3 - 1075.112*LOG10(B3) - 52000.87/B3</f>
        <v>81.7325082921048</v>
      </c>
      <c r="F3" s="42" t="n">
        <f aca="false">647.26-B3</f>
        <v>358.11</v>
      </c>
      <c r="G3" s="42" t="n">
        <f aca="false">(1 + 0.1342489*F3^(1/3) - 0.003946263*F3)/(3.1975 - 0.3151548*F3^(1/3) - 0.001203374*F3 + 0.000000000000748908*F3^4)</f>
        <v>0.998677748068715</v>
      </c>
      <c r="H3" s="42" t="n">
        <f aca="false">1824830*G3^0.5/(E3*B3)^(3/2)</f>
        <v>0.501947231210283</v>
      </c>
      <c r="I3" s="42" t="n">
        <f aca="false">50.2916*G3^0.5/(E3*B3)^0.5</f>
        <v>0.326925749011482</v>
      </c>
      <c r="J3" s="42" t="n">
        <f aca="false">-H3*1^2*SQRT('Input and output'!H8)/(1+I3*D3*SQRT('Input and output'!H8))</f>
        <v>-0.209279560119604</v>
      </c>
      <c r="K3" s="42" t="n">
        <f aca="false">10^J3</f>
        <v>0.617618704220061</v>
      </c>
      <c r="L3" s="42" t="n">
        <f aca="false">10^(-3.51645-0.00136*B3+1701.34805/B3)</f>
        <v>94.2474294208543</v>
      </c>
      <c r="M3" s="42" t="n">
        <f aca="false">L3*0.000082057*B3</f>
        <v>2.23618816951765</v>
      </c>
    </row>
    <row r="4" customFormat="false" ht="14.25" hidden="false" customHeight="false" outlineLevel="0" collapsed="false">
      <c r="A4" s="39" t="s">
        <v>23</v>
      </c>
      <c r="B4" s="42" t="n">
        <f aca="false">'Input and output'!D9+273.15</f>
        <v>308.15</v>
      </c>
      <c r="C4" s="42" t="n">
        <f aca="false">10^(-0.0905 - 2729.31/B4)</f>
        <v>1.12828135220726E-009</v>
      </c>
      <c r="D4" s="39" t="n">
        <v>2.5</v>
      </c>
      <c r="E4" s="42" t="n">
        <f aca="false">2727.586 + 0.6224107*B4 - 1075.112*LOG10(B4) - 52000.87/B4</f>
        <v>74.931971686193</v>
      </c>
      <c r="F4" s="42" t="n">
        <f aca="false">647.26-B4</f>
        <v>339.11</v>
      </c>
      <c r="G4" s="42" t="n">
        <f aca="false">(1 + 0.1342489*F4^(1/3) - 0.003946263*F4)/(3.1975 - 0.3151548*F4^(1/3) - 0.001203374*F4 + 0.000000000000748908*F4^4)</f>
        <v>0.993922421333996</v>
      </c>
      <c r="H4" s="42" t="n">
        <f aca="false">1824830*G4^0.5/(E4*B4)^(3/2)</f>
        <v>0.518507039933613</v>
      </c>
      <c r="I4" s="42" t="n">
        <f aca="false">50.2916*G4^0.5/(E4*B4)^0.5</f>
        <v>0.329956759942219</v>
      </c>
      <c r="J4" s="42" t="n">
        <f aca="false">-H4*1^2*SQRT('Input and output'!H9)/(1+I4*D4*SQRT('Input and output'!H9))</f>
        <v>-0.215503082933026</v>
      </c>
      <c r="K4" s="42" t="n">
        <f aca="false">10^J4</f>
        <v>0.608831223826331</v>
      </c>
      <c r="L4" s="42" t="n">
        <f aca="false">10^(-3.51645-0.00136*B4+1701.34805/B4)</f>
        <v>38.5154010554967</v>
      </c>
      <c r="M4" s="42" t="n">
        <f aca="false">L4*0.000082057*B4</f>
        <v>0.973895214178215</v>
      </c>
    </row>
    <row r="5" customFormat="false" ht="14.25" hidden="false" customHeight="false" outlineLevel="0" collapsed="false">
      <c r="A5" s="39" t="s">
        <v>24</v>
      </c>
      <c r="B5" s="42" t="n">
        <f aca="false">'Input and output'!D10+273.15</f>
        <v>288.15</v>
      </c>
      <c r="C5" s="42" t="n">
        <f aca="false">10^(-0.0905 - 2729.31/B5)</f>
        <v>2.73944392708351E-010</v>
      </c>
      <c r="D5" s="39" t="n">
        <v>2.5</v>
      </c>
      <c r="E5" s="42" t="n">
        <f aca="false">2727.586 + 0.6224107*B5 - 1075.112*LOG10(B5) - 52000.87/B5</f>
        <v>82.103560790105</v>
      </c>
      <c r="F5" s="42" t="n">
        <f aca="false">647.26-B5</f>
        <v>359.11</v>
      </c>
      <c r="G5" s="42" t="n">
        <f aca="false">(1 + 0.1342489*F5^(1/3) - 0.003946263*F5)/(3.1975 - 0.3151548*F5^(1/3) - 0.001203374*F5 + 0.000000000000748908*F5^4)</f>
        <v>0.998831349789527</v>
      </c>
      <c r="H5" s="42" t="n">
        <f aca="false">1824830*G5^0.5/(E5*B5)^(3/2)</f>
        <v>0.501184428940546</v>
      </c>
      <c r="I5" s="42" t="n">
        <f aca="false">50.2916*G5^0.5/(E5*B5)^0.5</f>
        <v>0.326776808463521</v>
      </c>
      <c r="J5" s="42" t="n">
        <f aca="false">-H5*1^2*SQRT('Input and output'!H10)/(1+I5*D5*SQRT('Input and output'!H10))</f>
        <v>-0.0463332823602261</v>
      </c>
      <c r="K5" s="42" t="n">
        <f aca="false">10^J5</f>
        <v>0.898807561994672</v>
      </c>
      <c r="L5" s="42" t="n">
        <f aca="false">10^(-3.51645-0.00136*B5+1701.34805/B5)</f>
        <v>99.0944444656511</v>
      </c>
      <c r="M5" s="42" t="n">
        <f aca="false">L5*0.000082057*B5</f>
        <v>2.34306084382559</v>
      </c>
    </row>
  </sheetData>
  <mergeCells count="2">
    <mergeCell ref="D1:I1"/>
    <mergeCell ref="J1:K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7.92"/>
    <col collapsed="false" customWidth="true" hidden="false" outlineLevel="0" max="4" min="4" style="0" width="42.95"/>
  </cols>
  <sheetData>
    <row r="1" customFormat="false" ht="12.8" hidden="false" customHeight="false" outlineLevel="0" collapsed="false">
      <c r="A1" s="0" t="s">
        <v>43</v>
      </c>
      <c r="B1" s="0" t="s">
        <v>44</v>
      </c>
      <c r="C1" s="0" t="s">
        <v>45</v>
      </c>
      <c r="D1" s="0" t="s">
        <v>46</v>
      </c>
    </row>
    <row r="2" customFormat="false" ht="12.8" hidden="false" customHeight="false" outlineLevel="0" collapsed="false">
      <c r="A2" s="0" t="s">
        <v>47</v>
      </c>
      <c r="B2" s="0" t="s">
        <v>48</v>
      </c>
      <c r="C2" s="0" t="s">
        <v>49</v>
      </c>
      <c r="D2" s="0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2014-03-09T22:53:11Z</dcterms:created>
  <dc:creator>Sasha Hafner</dc:creator>
  <dc:description/>
  <dc:language>en-US</dc:language>
  <cp:lastModifiedBy>Some Reviewer</cp:lastModifiedBy>
  <dcterms:modified xsi:type="dcterms:W3CDTF">2021-05-18T05:56:39Z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